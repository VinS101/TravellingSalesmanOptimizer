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hervin\OneDrive\Documents\Fall 2015\CAP 4630\HW2_GA\ActualHW\"/>
    </mc:Choice>
  </mc:AlternateContent>
  <bookViews>
    <workbookView xWindow="1050" yWindow="1335" windowWidth="9570" windowHeight="6030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Sheet1!$B$2:$J$32</definedName>
  </definedNames>
  <calcPr calcId="152511"/>
</workbook>
</file>

<file path=xl/calcChain.xml><?xml version="1.0" encoding="utf-8"?>
<calcChain xmlns="http://schemas.openxmlformats.org/spreadsheetml/2006/main">
  <c r="C15" i="1" l="1"/>
  <c r="H20" i="1"/>
  <c r="H22" i="1" s="1"/>
  <c r="D24" i="1" s="1"/>
  <c r="D25" i="1"/>
  <c r="D26" i="1"/>
  <c r="D27" i="1"/>
  <c r="D28" i="1"/>
  <c r="D29" i="1"/>
</calcChain>
</file>

<file path=xl/sharedStrings.xml><?xml version="1.0" encoding="utf-8"?>
<sst xmlns="http://schemas.openxmlformats.org/spreadsheetml/2006/main" count="20" uniqueCount="16">
  <si>
    <t xml:space="preserve">Sample 1 </t>
  </si>
  <si>
    <t xml:space="preserve">Sample 2 </t>
  </si>
  <si>
    <t>estimate of standard error of the difference =</t>
  </si>
  <si>
    <t>z =</t>
  </si>
  <si>
    <t>Alt Hypothesis =</t>
  </si>
  <si>
    <t>mean=</t>
  </si>
  <si>
    <t>variance=</t>
  </si>
  <si>
    <t>size=</t>
  </si>
  <si>
    <t>Large Sample Test For Comparing Two Population Means</t>
  </si>
  <si>
    <t>1) u1 &gt; u2</t>
  </si>
  <si>
    <t>2) u1 &lt; u2</t>
  </si>
  <si>
    <t>3) u1 != u2</t>
  </si>
  <si>
    <t>confidence (0.95 or 0.99) =</t>
  </si>
  <si>
    <t xml:space="preserve">Null Hypothesis is u1 = u2 </t>
  </si>
  <si>
    <t>See page 197 of Understanding Statistics by Mendenhall and Ott</t>
  </si>
  <si>
    <t>© Copyright 2004 Thomas Fernandez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</si>
</sst>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2"/>
      <name val="Arial"/>
      <family val="2"/>
    </font>
    <font>
      <b/>
      <sz val="16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/>
    <xf numFmtId="0" fontId="0" fillId="0" borderId="2" xfId="0" applyBorder="1"/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0" fontId="0" fillId="2" borderId="0" xfId="0" applyFill="1" applyBorder="1"/>
    <xf numFmtId="0" fontId="0" fillId="2" borderId="0" xfId="0" quotePrefix="1" applyFill="1" applyBorder="1"/>
    <xf numFmtId="0" fontId="2" fillId="0" borderId="0" xfId="0" applyFont="1" applyBorder="1"/>
    <xf numFmtId="0" fontId="0" fillId="3" borderId="0" xfId="0" applyFill="1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4" borderId="0" xfId="0" applyFill="1" applyProtection="1">
      <protection locked="0"/>
    </xf>
    <xf numFmtId="0" fontId="0" fillId="4" borderId="0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3" fillId="0" borderId="3" xfId="0" applyFont="1" applyBorder="1"/>
    <xf numFmtId="0" fontId="4" fillId="0" borderId="0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2"/>
  <sheetViews>
    <sheetView tabSelected="1" zoomScale="130" zoomScaleNormal="130" workbookViewId="0">
      <selection activeCell="J21" sqref="J21"/>
    </sheetView>
  </sheetViews>
  <sheetFormatPr defaultRowHeight="12.75" x14ac:dyDescent="0.2"/>
  <cols>
    <col min="3" max="3" width="11.140625" customWidth="1"/>
  </cols>
  <sheetData>
    <row r="2" spans="2:10" ht="16.5" thickBot="1" x14ac:dyDescent="0.3">
      <c r="B2" s="16"/>
      <c r="C2" s="3" t="s">
        <v>8</v>
      </c>
      <c r="D2" s="2"/>
      <c r="E2" s="2"/>
      <c r="F2" s="2"/>
      <c r="G2" s="2"/>
      <c r="H2" s="2"/>
      <c r="I2" s="2"/>
      <c r="J2" s="5"/>
    </row>
    <row r="3" spans="2:10" s="24" customFormat="1" ht="8.25" x14ac:dyDescent="0.15">
      <c r="B3" s="20"/>
      <c r="C3" s="21"/>
      <c r="D3" s="22" t="s">
        <v>15</v>
      </c>
      <c r="E3" s="22"/>
      <c r="F3" s="22"/>
      <c r="G3" s="22"/>
      <c r="H3" s="22"/>
      <c r="I3" s="22"/>
      <c r="J3" s="23"/>
    </row>
    <row r="4" spans="2:10" x14ac:dyDescent="0.2">
      <c r="B4" s="4"/>
      <c r="C4" s="6"/>
      <c r="D4" s="6" t="s">
        <v>14</v>
      </c>
      <c r="E4" s="6"/>
      <c r="F4" s="6"/>
      <c r="G4" s="6"/>
      <c r="H4" s="6"/>
      <c r="I4" s="6"/>
      <c r="J4" s="7"/>
    </row>
    <row r="5" spans="2:10" ht="15.75" x14ac:dyDescent="0.25">
      <c r="B5" s="4"/>
      <c r="C5" s="1" t="s">
        <v>0</v>
      </c>
      <c r="D5" s="1"/>
      <c r="E5" s="6"/>
      <c r="F5" s="6"/>
      <c r="G5" s="8"/>
      <c r="H5" s="6"/>
      <c r="I5" s="6"/>
      <c r="J5" s="7"/>
    </row>
    <row r="6" spans="2:10" x14ac:dyDescent="0.2">
      <c r="B6" s="4"/>
      <c r="C6" s="6" t="s">
        <v>5</v>
      </c>
      <c r="D6" s="17">
        <v>45173.5</v>
      </c>
      <c r="E6" s="6"/>
      <c r="F6" s="6"/>
      <c r="G6" s="6"/>
      <c r="H6" s="6"/>
      <c r="I6" s="6"/>
      <c r="J6" s="7"/>
    </row>
    <row r="7" spans="2:10" x14ac:dyDescent="0.2">
      <c r="B7" s="4"/>
      <c r="C7" s="6" t="s">
        <v>6</v>
      </c>
      <c r="D7" s="17">
        <v>548878.1</v>
      </c>
      <c r="E7" s="6"/>
      <c r="F7" s="6"/>
      <c r="G7" s="6"/>
      <c r="H7" s="6"/>
      <c r="I7" s="6"/>
      <c r="J7" s="7"/>
    </row>
    <row r="8" spans="2:10" x14ac:dyDescent="0.2">
      <c r="B8" s="4"/>
      <c r="C8" s="6" t="s">
        <v>7</v>
      </c>
      <c r="D8" s="18">
        <v>50</v>
      </c>
      <c r="E8" s="6"/>
      <c r="F8" s="6"/>
      <c r="G8" s="6"/>
      <c r="H8" s="6"/>
      <c r="I8" s="6"/>
      <c r="J8" s="7"/>
    </row>
    <row r="9" spans="2:10" x14ac:dyDescent="0.2">
      <c r="B9" s="4"/>
      <c r="C9" s="6"/>
      <c r="D9" s="6"/>
      <c r="E9" s="6"/>
      <c r="F9" s="6"/>
      <c r="G9" s="6"/>
      <c r="H9" s="6"/>
      <c r="I9" s="6"/>
      <c r="J9" s="7"/>
    </row>
    <row r="10" spans="2:10" x14ac:dyDescent="0.2">
      <c r="B10" s="4"/>
      <c r="C10" s="6"/>
      <c r="D10" s="6"/>
      <c r="E10" s="6"/>
      <c r="F10" s="6"/>
      <c r="G10" s="9" t="s">
        <v>13</v>
      </c>
      <c r="H10" s="9"/>
      <c r="I10" s="9"/>
      <c r="J10" s="7"/>
    </row>
    <row r="11" spans="2:10" ht="15.75" x14ac:dyDescent="0.25">
      <c r="B11" s="4"/>
      <c r="C11" s="1" t="s">
        <v>1</v>
      </c>
      <c r="D11" s="1"/>
      <c r="E11" s="6"/>
      <c r="F11" s="6"/>
      <c r="G11" s="9"/>
      <c r="H11" s="9"/>
      <c r="I11" s="9"/>
      <c r="J11" s="7"/>
    </row>
    <row r="12" spans="2:10" x14ac:dyDescent="0.2">
      <c r="B12" s="4"/>
      <c r="C12" s="6" t="s">
        <v>5</v>
      </c>
      <c r="D12" s="18">
        <v>42832</v>
      </c>
      <c r="E12" s="6"/>
      <c r="F12" s="6"/>
      <c r="G12" s="9" t="s">
        <v>4</v>
      </c>
      <c r="H12" s="9"/>
      <c r="I12" s="9"/>
      <c r="J12" s="7"/>
    </row>
    <row r="13" spans="2:10" x14ac:dyDescent="0.2">
      <c r="B13" s="4"/>
      <c r="C13" s="6" t="s">
        <v>6</v>
      </c>
      <c r="D13" s="18">
        <v>54428.99</v>
      </c>
      <c r="E13" s="6"/>
      <c r="F13" s="6"/>
      <c r="G13" s="9"/>
      <c r="H13" s="10" t="s">
        <v>9</v>
      </c>
      <c r="I13" s="9"/>
      <c r="J13" s="7"/>
    </row>
    <row r="14" spans="2:10" x14ac:dyDescent="0.2">
      <c r="B14" s="4"/>
      <c r="C14" s="6" t="s">
        <v>7</v>
      </c>
      <c r="D14" s="18">
        <v>50</v>
      </c>
      <c r="E14" s="6"/>
      <c r="F14" s="6"/>
      <c r="G14" s="9"/>
      <c r="H14" s="9" t="s">
        <v>10</v>
      </c>
      <c r="I14" s="9"/>
      <c r="J14" s="7"/>
    </row>
    <row r="15" spans="2:10" ht="20.25" x14ac:dyDescent="0.3">
      <c r="B15" s="4"/>
      <c r="C15" s="11" t="str">
        <f>IF(OR(D8&lt;30,D14&lt;30),"SAMPLES TOO SMALL FOR THIS TEST! MUST BE &gt;= 30!","")</f>
        <v/>
      </c>
      <c r="D15" s="6"/>
      <c r="E15" s="6"/>
      <c r="F15" s="6"/>
      <c r="G15" s="9"/>
      <c r="H15" s="10" t="s">
        <v>11</v>
      </c>
      <c r="I15" s="9"/>
      <c r="J15" s="7"/>
    </row>
    <row r="16" spans="2:10" x14ac:dyDescent="0.2">
      <c r="B16" s="4"/>
      <c r="C16" s="6"/>
      <c r="D16" s="6"/>
      <c r="E16" s="6" t="s">
        <v>4</v>
      </c>
      <c r="F16" s="6"/>
      <c r="G16" s="6"/>
      <c r="H16" s="19">
        <v>3</v>
      </c>
      <c r="I16" s="6"/>
      <c r="J16" s="7"/>
    </row>
    <row r="17" spans="2:10" x14ac:dyDescent="0.2">
      <c r="B17" s="4"/>
      <c r="C17" s="6"/>
      <c r="D17" s="6"/>
      <c r="E17" s="6"/>
      <c r="F17" s="6"/>
      <c r="G17" s="6"/>
      <c r="H17" s="6"/>
      <c r="I17" s="6"/>
      <c r="J17" s="7"/>
    </row>
    <row r="18" spans="2:10" x14ac:dyDescent="0.2">
      <c r="B18" s="4"/>
      <c r="C18" s="6"/>
      <c r="D18" s="6"/>
      <c r="E18" s="6" t="s">
        <v>12</v>
      </c>
      <c r="F18" s="6"/>
      <c r="G18" s="6"/>
      <c r="H18" s="19">
        <v>0.95</v>
      </c>
      <c r="I18" s="6"/>
      <c r="J18" s="7"/>
    </row>
    <row r="19" spans="2:10" x14ac:dyDescent="0.2">
      <c r="B19" s="4"/>
      <c r="C19" s="6"/>
      <c r="D19" s="6"/>
      <c r="E19" s="6"/>
      <c r="F19" s="6"/>
      <c r="G19" s="6"/>
      <c r="H19" s="6"/>
      <c r="I19" s="6"/>
      <c r="J19" s="7"/>
    </row>
    <row r="20" spans="2:10" x14ac:dyDescent="0.2">
      <c r="B20" s="4"/>
      <c r="C20" s="6" t="s">
        <v>2</v>
      </c>
      <c r="D20" s="6"/>
      <c r="E20" s="6"/>
      <c r="F20" s="6"/>
      <c r="G20" s="6"/>
      <c r="H20" s="6">
        <f>SQRT((D7/D8)+(D13/D14))</f>
        <v>109.84599127869892</v>
      </c>
      <c r="I20" s="6"/>
      <c r="J20" s="7"/>
    </row>
    <row r="21" spans="2:10" x14ac:dyDescent="0.2">
      <c r="B21" s="4"/>
      <c r="C21" s="6"/>
      <c r="D21" s="6"/>
      <c r="E21" s="6"/>
      <c r="F21" s="6"/>
      <c r="G21" s="6"/>
      <c r="H21" s="6"/>
      <c r="I21" s="6"/>
      <c r="J21" s="7"/>
    </row>
    <row r="22" spans="2:10" x14ac:dyDescent="0.2">
      <c r="B22" s="4"/>
      <c r="C22" s="6"/>
      <c r="D22" s="6"/>
      <c r="E22" s="6"/>
      <c r="F22" s="6" t="s">
        <v>3</v>
      </c>
      <c r="G22" s="6"/>
      <c r="H22" s="6">
        <f>(D6-D12)/H20</f>
        <v>21.316208017634398</v>
      </c>
      <c r="I22" s="6"/>
      <c r="J22" s="7"/>
    </row>
    <row r="23" spans="2:10" x14ac:dyDescent="0.2">
      <c r="B23" s="4"/>
      <c r="C23" s="6"/>
      <c r="D23" s="6"/>
      <c r="E23" s="6"/>
      <c r="F23" s="6"/>
      <c r="G23" s="6"/>
      <c r="H23" s="6"/>
      <c r="I23" s="6"/>
      <c r="J23" s="7"/>
    </row>
    <row r="24" spans="2:10" x14ac:dyDescent="0.2">
      <c r="B24" s="4"/>
      <c r="C24" s="6"/>
      <c r="D24" s="12" t="str">
        <f>IF(AND(H$16=3,H$18=0.95),IF((ABS(H$22)&gt;1.96),"Reject the Null Hypothesis","Do not reject the null Hypothesis"),"")</f>
        <v>Reject the Null Hypothesis</v>
      </c>
      <c r="E24" s="12"/>
      <c r="F24" s="12"/>
      <c r="G24" s="6"/>
      <c r="H24" s="6"/>
      <c r="I24" s="6"/>
      <c r="J24" s="7"/>
    </row>
    <row r="25" spans="2:10" x14ac:dyDescent="0.2">
      <c r="B25" s="4"/>
      <c r="C25" s="6"/>
      <c r="D25" s="12" t="str">
        <f>IF(AND(H$16=3,H$18=0.99),IF((ABS(H$22)&gt;2.58),"Reject the Null Hypothesis","Do not reject the null Hypothesis"),"")</f>
        <v/>
      </c>
      <c r="E25" s="12"/>
      <c r="F25" s="12"/>
      <c r="G25" s="6"/>
      <c r="H25" s="6"/>
      <c r="I25" s="6"/>
      <c r="J25" s="7"/>
    </row>
    <row r="26" spans="2:10" x14ac:dyDescent="0.2">
      <c r="B26" s="4"/>
      <c r="C26" s="6"/>
      <c r="D26" s="12" t="str">
        <f>IF(AND(H$16=2,H$18=0.95),IF((H$22&lt;-1.645),"Reject the Null Hypothesis","Do not reject the null Hypothesis"),"")</f>
        <v/>
      </c>
      <c r="E26" s="12"/>
      <c r="F26" s="12"/>
      <c r="G26" s="6"/>
      <c r="H26" s="6"/>
      <c r="I26" s="6"/>
      <c r="J26" s="7"/>
    </row>
    <row r="27" spans="2:10" x14ac:dyDescent="0.2">
      <c r="B27" s="4"/>
      <c r="C27" s="6"/>
      <c r="D27" s="12" t="str">
        <f>IF(AND(H$16=2,H$18=0.99),IF((H$22&lt;-2.33),"Reject the Null Hypothesis","Do not reject the null Hypothesis"),"")</f>
        <v/>
      </c>
      <c r="E27" s="12"/>
      <c r="F27" s="12"/>
      <c r="G27" s="6"/>
      <c r="H27" s="6"/>
      <c r="I27" s="6"/>
      <c r="J27" s="7"/>
    </row>
    <row r="28" spans="2:10" x14ac:dyDescent="0.2">
      <c r="B28" s="4"/>
      <c r="C28" s="6"/>
      <c r="D28" s="12" t="str">
        <f>IF(AND(H$16=1,H$18=0.95),IF((H$22&gt;1.645),"Reject the Null Hypothesis","Do not reject the null Hypothesis"),"")</f>
        <v/>
      </c>
      <c r="E28" s="12"/>
      <c r="F28" s="12"/>
      <c r="G28" s="6"/>
      <c r="H28" s="6"/>
      <c r="I28" s="6"/>
      <c r="J28" s="7"/>
    </row>
    <row r="29" spans="2:10" x14ac:dyDescent="0.2">
      <c r="B29" s="4"/>
      <c r="C29" s="6"/>
      <c r="D29" s="12" t="str">
        <f>IF(AND(H$16=1,H$18=0.99),IF((H$22&gt;2.33),"Reject the Null Hypothesis","Do not reject the null Hypothesis"),"")</f>
        <v/>
      </c>
      <c r="E29" s="12"/>
      <c r="F29" s="12"/>
      <c r="G29" s="6"/>
      <c r="H29" s="6"/>
      <c r="I29" s="6"/>
      <c r="J29" s="7"/>
    </row>
    <row r="30" spans="2:10" x14ac:dyDescent="0.2">
      <c r="B30" s="4"/>
      <c r="C30" s="6"/>
      <c r="D30" s="6"/>
      <c r="E30" s="6"/>
      <c r="F30" s="6"/>
      <c r="G30" s="6"/>
      <c r="H30" s="6"/>
      <c r="I30" s="6"/>
      <c r="J30" s="7"/>
    </row>
    <row r="31" spans="2:10" x14ac:dyDescent="0.2">
      <c r="B31" s="4"/>
      <c r="C31" s="6"/>
      <c r="D31" s="6"/>
      <c r="E31" s="6"/>
      <c r="F31" s="6"/>
      <c r="G31" s="6"/>
      <c r="H31" s="6"/>
      <c r="I31" s="6"/>
      <c r="J31" s="7"/>
    </row>
    <row r="32" spans="2:10" x14ac:dyDescent="0.2">
      <c r="B32" s="13"/>
      <c r="C32" s="14"/>
      <c r="D32" s="14"/>
      <c r="E32" s="14"/>
      <c r="F32" s="14"/>
      <c r="G32" s="14"/>
      <c r="H32" s="14"/>
      <c r="I32" s="14"/>
      <c r="J32" s="15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TCS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Fernandez</dc:creator>
  <cp:lastModifiedBy>Shervin</cp:lastModifiedBy>
  <cp:lastPrinted>2001-02-09T17:43:53Z</cp:lastPrinted>
  <dcterms:created xsi:type="dcterms:W3CDTF">2001-02-03T01:11:47Z</dcterms:created>
  <dcterms:modified xsi:type="dcterms:W3CDTF">2015-11-11T01:21:57Z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e0f818e5-f75b-4477-9219-c9f40e0b218d</vt:lpwstr>
  </property>
</Properties>
</file>